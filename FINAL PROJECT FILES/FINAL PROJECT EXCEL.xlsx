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INAL PROJECT FILES\"/>
    </mc:Choice>
  </mc:AlternateContent>
  <xr:revisionPtr revIDLastSave="0" documentId="13_ncr:1_{5104689D-C984-4BE4-A456-0F30D7C6000D}" xr6:coauthVersionLast="47" xr6:coauthVersionMax="47" xr10:uidLastSave="{00000000-0000-0000-0000-000000000000}"/>
  <bookViews>
    <workbookView xWindow="-120" yWindow="-120" windowWidth="20730" windowHeight="11160" xr2:uid="{DB2C977C-E273-4B8C-B8F9-CC26C3278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H13" i="1"/>
  <c r="H12" i="1"/>
  <c r="I8" i="1"/>
  <c r="I7" i="1"/>
  <c r="I6" i="1"/>
  <c r="I5" i="1"/>
  <c r="E38" i="1"/>
  <c r="E37" i="1"/>
  <c r="E36" i="1"/>
  <c r="E31" i="1"/>
  <c r="E30" i="1"/>
  <c r="E29" i="1"/>
  <c r="E28" i="1"/>
  <c r="E23" i="1"/>
  <c r="E22" i="1"/>
  <c r="E17" i="1"/>
  <c r="E16" i="1"/>
  <c r="E15" i="1"/>
  <c r="E14" i="1"/>
  <c r="E13" i="1"/>
  <c r="F8" i="1"/>
  <c r="E8" i="1"/>
</calcChain>
</file>

<file path=xl/sharedStrings.xml><?xml version="1.0" encoding="utf-8"?>
<sst xmlns="http://schemas.openxmlformats.org/spreadsheetml/2006/main" count="48" uniqueCount="36">
  <si>
    <t>Personal Monthly Budget</t>
  </si>
  <si>
    <t>Monthly Income</t>
  </si>
  <si>
    <t>Salary</t>
  </si>
  <si>
    <t>Allowance</t>
  </si>
  <si>
    <t>Total</t>
  </si>
  <si>
    <t>Difference</t>
  </si>
  <si>
    <t>Food</t>
  </si>
  <si>
    <t>Data</t>
  </si>
  <si>
    <t>Personal Care</t>
  </si>
  <si>
    <t>Clothings</t>
  </si>
  <si>
    <t>Skin Care</t>
  </si>
  <si>
    <t>Makeup</t>
  </si>
  <si>
    <t>Hair</t>
  </si>
  <si>
    <t>Projected Expenses</t>
  </si>
  <si>
    <t>Actual Expenses</t>
  </si>
  <si>
    <t>Spa Grooming</t>
  </si>
  <si>
    <t>Eating Out</t>
  </si>
  <si>
    <t>Snacks</t>
  </si>
  <si>
    <t>Drinks</t>
  </si>
  <si>
    <t>Delivery</t>
  </si>
  <si>
    <t>Transportation</t>
  </si>
  <si>
    <t>Public Transport</t>
  </si>
  <si>
    <t>Uber</t>
  </si>
  <si>
    <t>Airtime</t>
  </si>
  <si>
    <t>Projected Expesnes</t>
  </si>
  <si>
    <t>ICT</t>
  </si>
  <si>
    <t>Online course subscription</t>
  </si>
  <si>
    <t>Bonus</t>
  </si>
  <si>
    <t>-</t>
  </si>
  <si>
    <t>Total Expenses</t>
  </si>
  <si>
    <t>Total Actual Expenses</t>
  </si>
  <si>
    <t>Projected Income</t>
  </si>
  <si>
    <t>Actual Income</t>
  </si>
  <si>
    <t>Net Savings</t>
  </si>
  <si>
    <t>Total Income</t>
  </si>
  <si>
    <t>Total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</si>
</sst>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₦-466]\ #,##0"/>
    <numFmt numFmtId="165" formatCode="_-[$₦-466]\ * #,##0_-;\-[$₦-466]\ * #,##0_-;_-[$₦-466]\ 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14"/>
      <color theme="0"/>
      <name val="Arial Black"/>
      <family val="2"/>
    </font>
    <font>
      <b/>
      <sz val="14"/>
      <color theme="1"/>
      <name val="Arial Black"/>
      <family val="2"/>
    </font>
    <font>
      <sz val="36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 applyBorder="1"/>
    <xf numFmtId="0" fontId="2" fillId="0" borderId="3" xfId="0" applyFont="1" applyBorder="1"/>
    <xf numFmtId="164" fontId="2" fillId="0" borderId="0" xfId="0" applyNumberFormat="1" applyFont="1" applyBorder="1"/>
    <xf numFmtId="0" fontId="2" fillId="0" borderId="4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164" fontId="2" fillId="0" borderId="0" xfId="0" applyNumberFormat="1" applyFont="1" applyBorder="1" applyAlignment="1"/>
    <xf numFmtId="0" fontId="2" fillId="0" borderId="0" xfId="0" applyFont="1"/>
    <xf numFmtId="0" fontId="2" fillId="0" borderId="0" xfId="0" applyFont="1" applyFill="1" applyBorder="1"/>
    <xf numFmtId="0" fontId="2" fillId="0" borderId="1" xfId="0" applyFont="1" applyFill="1" applyBorder="1"/>
    <xf numFmtId="165" fontId="2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65" fontId="2" fillId="0" borderId="0" xfId="0" applyNumberFormat="1" applyFont="1" applyBorder="1"/>
    <xf numFmtId="164" fontId="2" fillId="0" borderId="1" xfId="0" applyNumberFormat="1" applyFont="1" applyFill="1" applyBorder="1"/>
    <xf numFmtId="0" fontId="2" fillId="0" borderId="0" xfId="0" applyFont="1" applyFill="1" applyBorder="1" applyAlignment="1"/>
    <xf numFmtId="164" fontId="2" fillId="0" borderId="0" xfId="0" applyNumberFormat="1" applyFont="1" applyFill="1" applyBorder="1"/>
    <xf numFmtId="165" fontId="2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65" fontId="2" fillId="0" borderId="4" xfId="0" applyNumberFormat="1" applyFont="1" applyBorder="1"/>
    <xf numFmtId="165" fontId="2" fillId="0" borderId="3" xfId="0" applyNumberFormat="1" applyFont="1" applyBorder="1"/>
    <xf numFmtId="0" fontId="2" fillId="0" borderId="4" xfId="0" applyFont="1" applyFill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0" fontId="2" fillId="0" borderId="4" xfId="0" applyFont="1" applyBorder="1" applyAlignment="1"/>
    <xf numFmtId="164" fontId="2" fillId="0" borderId="4" xfId="0" applyNumberFormat="1" applyFont="1" applyBorder="1" applyAlignment="1">
      <alignment horizontal="right"/>
    </xf>
    <xf numFmtId="164" fontId="2" fillId="0" borderId="3" xfId="0" applyNumberFormat="1" applyFont="1" applyBorder="1" applyAlignment="1"/>
    <xf numFmtId="0" fontId="2" fillId="0" borderId="3" xfId="0" applyFont="1" applyFill="1" applyBorder="1"/>
    <xf numFmtId="0" fontId="3" fillId="0" borderId="0" xfId="0" applyFont="1" applyFill="1" applyBorder="1" applyAlignment="1"/>
    <xf numFmtId="164" fontId="2" fillId="0" borderId="0" xfId="1" applyNumberFormat="1" applyFont="1" applyFill="1" applyBorder="1"/>
    <xf numFmtId="164" fontId="2" fillId="0" borderId="1" xfId="1" applyNumberFormat="1" applyFont="1" applyFill="1" applyBorder="1"/>
    <xf numFmtId="164" fontId="2" fillId="0" borderId="4" xfId="1" applyNumberFormat="1" applyFont="1" applyFill="1" applyBorder="1"/>
    <xf numFmtId="164" fontId="2" fillId="0" borderId="6" xfId="0" applyNumberFormat="1" applyFont="1" applyFill="1" applyBorder="1"/>
    <xf numFmtId="164" fontId="2" fillId="0" borderId="7" xfId="0" applyNumberFormat="1" applyFont="1" applyFill="1" applyBorder="1"/>
    <xf numFmtId="164" fontId="3" fillId="0" borderId="0" xfId="0" applyNumberFormat="1" applyFont="1" applyFill="1" applyBorder="1" applyAlignment="1"/>
    <xf numFmtId="0" fontId="4" fillId="0" borderId="0" xfId="0" applyFont="1" applyFill="1" applyAlignment="1"/>
    <xf numFmtId="0" fontId="3" fillId="3" borderId="2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0" xfId="0" applyFont="1" applyFill="1"/>
    <xf numFmtId="164" fontId="3" fillId="3" borderId="8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Personal Monthly Budget</c:v>
            </c:pt>
          </c:strCache>
        </c:strRef>
      </c:tx>
      <c:layout>
        <c:manualLayout>
          <c:xMode val="edge"/>
          <c:yMode val="edge"/>
          <c:x val="0.31751085355094871"/>
          <c:y val="3.814530630479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772406247611486E-2"/>
          <c:y val="2.2280895739096446E-2"/>
          <c:w val="0.83730058729361334"/>
          <c:h val="0.837722390470421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Sheet1!$I$4</c:f>
              <c:strCache>
                <c:ptCount val="1"/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Sheet1!$H$5:$H$8</c:f>
              <c:strCache>
                <c:ptCount val="4"/>
                <c:pt idx="0">
                  <c:v>Personal Care</c:v>
                </c:pt>
                <c:pt idx="1">
                  <c:v>Transportation</c:v>
                </c:pt>
                <c:pt idx="2">
                  <c:v>Food</c:v>
                </c:pt>
                <c:pt idx="3">
                  <c:v>ICT</c:v>
                </c:pt>
              </c:strCache>
            </c:strRef>
          </c:cat>
          <c:val>
            <c:numRef>
              <c:f>Sheet1!$I$5:$I$8</c:f>
              <c:numCache>
                <c:formatCode>[$₦-466]\ #,##0</c:formatCode>
                <c:ptCount val="4"/>
                <c:pt idx="0">
                  <c:v>203000</c:v>
                </c:pt>
                <c:pt idx="1">
                  <c:v>75000</c:v>
                </c:pt>
                <c:pt idx="2">
                  <c:v>90000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A99-9785-04DAB2C522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51491888"/>
        <c:axId val="2051494800"/>
      </c:barChart>
      <c:catAx>
        <c:axId val="20514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VARIABLES</a:t>
                </a:r>
              </a:p>
            </c:rich>
          </c:tx>
          <c:layout>
            <c:manualLayout>
              <c:xMode val="edge"/>
              <c:yMode val="edge"/>
              <c:x val="0.42735885995544393"/>
              <c:y val="0.92014028033729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94800"/>
        <c:crosses val="autoZero"/>
        <c:auto val="1"/>
        <c:lblAlgn val="ctr"/>
        <c:lblOffset val="100"/>
        <c:noMultiLvlLbl val="0"/>
      </c:catAx>
      <c:valAx>
        <c:axId val="20514948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MONTLY EXPENSES</a:t>
                </a:r>
              </a:p>
            </c:rich>
          </c:tx>
          <c:layout>
            <c:manualLayout>
              <c:xMode val="edge"/>
              <c:yMode val="edge"/>
              <c:x val="3.6992040063581297E-2"/>
              <c:y val="0.31886547160328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6]\ #,##0" sourceLinked="1"/>
        <c:majorTickMark val="none"/>
        <c:minorTickMark val="none"/>
        <c:tickLblPos val="nextTo"/>
        <c:crossAx val="205149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302420</xdr:colOff>
      <xdr:row>15</xdr:row>
      <xdr:rowOff>78581</xdr:rowOff>
    </xdr:from>
    <xdr:to>
      <xdr:col>9</xdr:col>
      <xdr:colOff>1476376</xdr:colOff>
      <xdr:row>33</xdr:row>
      <xdr:rowOff>78581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D40347-8910-437B-A130-4AD32A973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048E-4CF4-4B9C-ABC2-F783F5653B2F}">
  <dimension ref="A1:L43"/>
  <sheetViews>
    <sheetView tabSelected="1" topLeftCell="A13" zoomScale="80" zoomScaleNormal="80" workbookViewId="0">
      <selection activeCell="F14" sqref="F14"/>
    </sheetView>
  </sheetViews>
  <sheetFormatPr defaultRowHeight="18.75" x14ac:dyDescent="0.3"/>
  <cols>
    <col min="1" max="1" width="21.28515625" style="10" bestFit="1" customWidth="1"/>
    <col min="2" max="2" width="31.28515625" style="10" bestFit="1" customWidth="1"/>
    <col min="3" max="3" width="23" style="10" bestFit="1" customWidth="1"/>
    <col min="4" max="4" width="19.140625" style="10" bestFit="1" customWidth="1"/>
    <col min="5" max="5" width="12.7109375" style="10" bestFit="1" customWidth="1"/>
    <col min="6" max="6" width="31.28515625" style="10" bestFit="1" customWidth="1"/>
    <col min="7" max="7" width="23" style="10" bestFit="1" customWidth="1"/>
    <col min="8" max="8" width="19.140625" style="10" bestFit="1" customWidth="1"/>
    <col min="9" max="9" width="31.28515625" style="10" bestFit="1" customWidth="1"/>
    <col min="10" max="10" width="23" style="10" bestFit="1" customWidth="1"/>
    <col min="11" max="11" width="19.140625" style="10" bestFit="1" customWidth="1"/>
    <col min="12" max="12" width="12.7109375" style="10" bestFit="1" customWidth="1"/>
    <col min="13" max="16384" width="9.140625" style="10"/>
  </cols>
  <sheetData>
    <row r="1" spans="1:12" ht="22.5" x14ac:dyDescent="0.4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0"/>
      <c r="L1" s="40"/>
    </row>
    <row r="2" spans="1:12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3"/>
      <c r="L2" s="43"/>
    </row>
    <row r="3" spans="1:12" s="42" customFormat="1" ht="22.5" x14ac:dyDescent="0.45"/>
    <row r="4" spans="1:12" ht="18.75" customHeight="1" x14ac:dyDescent="0.45">
      <c r="A4" s="7"/>
      <c r="B4" s="8"/>
      <c r="C4" s="46" t="s">
        <v>1</v>
      </c>
      <c r="D4" s="41" t="s">
        <v>31</v>
      </c>
      <c r="E4" s="41"/>
      <c r="F4" s="23" t="s">
        <v>32</v>
      </c>
      <c r="H4" s="44" t="s">
        <v>30</v>
      </c>
      <c r="I4" s="45"/>
    </row>
    <row r="5" spans="1:12" ht="20.25" customHeight="1" x14ac:dyDescent="0.3">
      <c r="A5" s="7"/>
      <c r="B5" s="8"/>
      <c r="C5" s="47"/>
      <c r="D5" s="1" t="s">
        <v>2</v>
      </c>
      <c r="E5" s="2">
        <v>500000</v>
      </c>
      <c r="F5" s="2">
        <v>500000</v>
      </c>
      <c r="H5" s="17" t="s">
        <v>8</v>
      </c>
      <c r="I5" s="17">
        <f>SUM(D13:D17)</f>
        <v>203000</v>
      </c>
    </row>
    <row r="6" spans="1:12" x14ac:dyDescent="0.3">
      <c r="A6" s="7"/>
      <c r="B6" s="8"/>
      <c r="C6" s="47"/>
      <c r="D6" s="1" t="s">
        <v>3</v>
      </c>
      <c r="E6" s="2">
        <v>70000</v>
      </c>
      <c r="F6" s="2">
        <v>70000</v>
      </c>
      <c r="H6" s="17" t="s">
        <v>20</v>
      </c>
      <c r="I6" s="17">
        <f>SUM(D22:D23)</f>
        <v>75000</v>
      </c>
    </row>
    <row r="7" spans="1:12" ht="22.5" x14ac:dyDescent="0.3">
      <c r="A7" s="7"/>
      <c r="B7" s="8"/>
      <c r="C7" s="47"/>
      <c r="D7" s="1" t="s">
        <v>27</v>
      </c>
      <c r="E7" s="2">
        <v>50000</v>
      </c>
      <c r="F7" s="14" t="s">
        <v>28</v>
      </c>
      <c r="H7" s="17" t="s">
        <v>6</v>
      </c>
      <c r="I7" s="17">
        <f>SUM(D28:D31)</f>
        <v>90000</v>
      </c>
    </row>
    <row r="8" spans="1:12" x14ac:dyDescent="0.3">
      <c r="A8" s="7"/>
      <c r="B8" s="8"/>
      <c r="C8" s="48"/>
      <c r="D8" s="1" t="s">
        <v>4</v>
      </c>
      <c r="E8" s="2">
        <f>SUM(E5:E7)</f>
        <v>620000</v>
      </c>
      <c r="F8" s="2">
        <f>SUM(F5:F7)</f>
        <v>570000</v>
      </c>
      <c r="H8" s="17" t="s">
        <v>25</v>
      </c>
      <c r="I8" s="17">
        <f>SUM(D36:D38)</f>
        <v>38000</v>
      </c>
    </row>
    <row r="11" spans="1:12" ht="22.5" x14ac:dyDescent="0.45">
      <c r="B11" s="51" t="s">
        <v>8</v>
      </c>
      <c r="C11" s="51"/>
      <c r="D11" s="51"/>
      <c r="E11" s="51"/>
      <c r="G11" s="52" t="s">
        <v>33</v>
      </c>
      <c r="H11" s="52"/>
    </row>
    <row r="12" spans="1:12" ht="22.5" x14ac:dyDescent="0.3">
      <c r="A12" s="15"/>
      <c r="B12" s="1"/>
      <c r="C12" s="1" t="s">
        <v>13</v>
      </c>
      <c r="D12" s="1" t="s">
        <v>14</v>
      </c>
      <c r="E12" s="12" t="s">
        <v>5</v>
      </c>
      <c r="F12" s="15"/>
      <c r="G12" s="17" t="s">
        <v>34</v>
      </c>
      <c r="H12" s="35">
        <f>SUM(F5:F7)</f>
        <v>570000</v>
      </c>
      <c r="I12" s="15"/>
      <c r="J12" s="15"/>
      <c r="K12" s="15"/>
      <c r="L12" s="15"/>
    </row>
    <row r="13" spans="1:12" ht="19.5" thickBot="1" x14ac:dyDescent="0.35">
      <c r="A13" s="3"/>
      <c r="B13" s="1" t="s">
        <v>9</v>
      </c>
      <c r="C13" s="2">
        <v>90000</v>
      </c>
      <c r="D13" s="2">
        <v>85000</v>
      </c>
      <c r="E13" s="2">
        <f>D13-C13</f>
        <v>-5000</v>
      </c>
      <c r="F13" s="11"/>
      <c r="G13" s="26" t="s">
        <v>29</v>
      </c>
      <c r="H13" s="36">
        <f>SUM(I5:I8)</f>
        <v>406000</v>
      </c>
      <c r="I13" s="11"/>
      <c r="J13" s="11"/>
      <c r="K13" s="11"/>
      <c r="L13" s="11"/>
    </row>
    <row r="14" spans="1:12" ht="19.5" thickBot="1" x14ac:dyDescent="0.35">
      <c r="A14" s="3"/>
      <c r="B14" s="1" t="s">
        <v>10</v>
      </c>
      <c r="C14" s="2">
        <v>35000</v>
      </c>
      <c r="D14" s="2">
        <v>40000</v>
      </c>
      <c r="E14" s="2">
        <f t="shared" ref="E14:E17" si="0">D14-C14</f>
        <v>5000</v>
      </c>
      <c r="F14" s="19"/>
      <c r="G14" s="37" t="s">
        <v>35</v>
      </c>
      <c r="H14" s="38">
        <f>H12-H13</f>
        <v>164000</v>
      </c>
      <c r="I14" s="11"/>
      <c r="J14" s="19"/>
      <c r="K14" s="19"/>
      <c r="L14" s="19"/>
    </row>
    <row r="15" spans="1:12" x14ac:dyDescent="0.3">
      <c r="A15" s="3"/>
      <c r="B15" s="1" t="s">
        <v>11</v>
      </c>
      <c r="C15" s="2">
        <v>20000</v>
      </c>
      <c r="D15" s="2">
        <v>20000</v>
      </c>
      <c r="E15" s="2">
        <f t="shared" si="0"/>
        <v>0</v>
      </c>
      <c r="F15" s="19"/>
      <c r="G15" s="19"/>
      <c r="H15" s="19"/>
      <c r="I15" s="11"/>
      <c r="J15" s="19"/>
      <c r="K15" s="19"/>
      <c r="L15" s="19"/>
    </row>
    <row r="16" spans="1:12" x14ac:dyDescent="0.3">
      <c r="A16" s="3"/>
      <c r="B16" s="1" t="s">
        <v>12</v>
      </c>
      <c r="C16" s="2">
        <v>25000</v>
      </c>
      <c r="D16" s="2">
        <v>20000</v>
      </c>
      <c r="E16" s="2">
        <f t="shared" si="0"/>
        <v>-5000</v>
      </c>
      <c r="F16" s="19"/>
      <c r="G16" s="19"/>
      <c r="H16" s="19"/>
      <c r="I16" s="11"/>
      <c r="J16" s="19"/>
      <c r="K16" s="19"/>
      <c r="L16" s="19"/>
    </row>
    <row r="17" spans="1:12" x14ac:dyDescent="0.3">
      <c r="A17" s="3"/>
      <c r="B17" s="6" t="s">
        <v>15</v>
      </c>
      <c r="C17" s="27">
        <v>45000</v>
      </c>
      <c r="D17" s="27">
        <v>38000</v>
      </c>
      <c r="E17" s="27">
        <f t="shared" si="0"/>
        <v>-7000</v>
      </c>
      <c r="F17" s="19"/>
      <c r="G17" s="19"/>
      <c r="H17" s="19"/>
      <c r="I17" s="11"/>
      <c r="J17" s="19"/>
      <c r="K17" s="19"/>
      <c r="L17" s="19"/>
    </row>
    <row r="18" spans="1:12" x14ac:dyDescent="0.3">
      <c r="A18" s="3"/>
      <c r="B18" s="32"/>
      <c r="C18" s="28"/>
      <c r="D18" s="28"/>
      <c r="E18" s="28"/>
      <c r="F18" s="19"/>
      <c r="G18" s="19"/>
      <c r="H18" s="19"/>
      <c r="I18" s="11"/>
      <c r="J18" s="19"/>
      <c r="K18" s="19"/>
      <c r="L18" s="19"/>
    </row>
    <row r="19" spans="1:12" x14ac:dyDescent="0.3">
      <c r="A19" s="11"/>
      <c r="B19" s="3"/>
      <c r="C19" s="3"/>
      <c r="D19" s="3"/>
      <c r="E19" s="8"/>
      <c r="F19" s="19"/>
      <c r="G19" s="19"/>
      <c r="H19" s="19"/>
      <c r="I19" s="11"/>
      <c r="J19" s="19"/>
      <c r="K19" s="19"/>
      <c r="L19" s="19"/>
    </row>
    <row r="20" spans="1:12" ht="22.5" x14ac:dyDescent="0.45">
      <c r="A20" s="3"/>
      <c r="B20" s="50" t="s">
        <v>20</v>
      </c>
      <c r="C20" s="51"/>
      <c r="D20" s="51"/>
      <c r="E20" s="51"/>
      <c r="F20" s="11"/>
      <c r="G20" s="39"/>
      <c r="H20" s="39"/>
      <c r="I20" s="11"/>
      <c r="J20" s="11"/>
      <c r="K20" s="11"/>
      <c r="L20" s="11"/>
    </row>
    <row r="21" spans="1:12" ht="22.5" x14ac:dyDescent="0.3">
      <c r="A21" s="15"/>
      <c r="B21" s="1"/>
      <c r="C21" s="1" t="s">
        <v>13</v>
      </c>
      <c r="D21" s="1" t="s">
        <v>14</v>
      </c>
      <c r="E21" s="1" t="s">
        <v>5</v>
      </c>
      <c r="F21" s="15"/>
      <c r="G21" s="19"/>
      <c r="H21" s="34"/>
      <c r="I21" s="15"/>
      <c r="J21" s="15"/>
      <c r="K21" s="15"/>
      <c r="L21" s="15"/>
    </row>
    <row r="22" spans="1:12" x14ac:dyDescent="0.3">
      <c r="A22" s="3"/>
      <c r="B22" s="13" t="s">
        <v>21</v>
      </c>
      <c r="C22" s="2">
        <v>38000</v>
      </c>
      <c r="D22" s="2">
        <v>50000</v>
      </c>
      <c r="E22" s="2">
        <f>D22-C22</f>
        <v>12000</v>
      </c>
      <c r="F22" s="11"/>
      <c r="G22" s="11"/>
      <c r="H22" s="34"/>
      <c r="I22" s="11"/>
      <c r="J22" s="11"/>
      <c r="K22" s="11"/>
      <c r="L22" s="11"/>
    </row>
    <row r="23" spans="1:12" x14ac:dyDescent="0.3">
      <c r="A23" s="16"/>
      <c r="B23" s="24" t="s">
        <v>22</v>
      </c>
      <c r="C23" s="27">
        <v>40000</v>
      </c>
      <c r="D23" s="27">
        <v>25000</v>
      </c>
      <c r="E23" s="27">
        <f>D23-C23</f>
        <v>-15000</v>
      </c>
      <c r="F23" s="19"/>
      <c r="G23" s="19"/>
      <c r="H23" s="19"/>
      <c r="I23" s="20"/>
      <c r="J23" s="19"/>
      <c r="K23" s="19"/>
      <c r="L23" s="19"/>
    </row>
    <row r="24" spans="1:12" x14ac:dyDescent="0.3">
      <c r="A24" s="16"/>
      <c r="B24" s="25"/>
      <c r="C24" s="28"/>
      <c r="D24" s="28"/>
      <c r="E24" s="28"/>
      <c r="F24" s="19"/>
      <c r="G24" s="19"/>
      <c r="H24" s="19"/>
      <c r="I24" s="20"/>
      <c r="J24" s="19"/>
      <c r="K24" s="19"/>
      <c r="L24" s="19"/>
    </row>
    <row r="25" spans="1:12" x14ac:dyDescent="0.3">
      <c r="A25" s="16"/>
      <c r="B25" s="3"/>
      <c r="C25" s="3"/>
      <c r="D25" s="3"/>
      <c r="E25" s="3"/>
      <c r="F25" s="19"/>
      <c r="G25" s="19"/>
      <c r="H25" s="19"/>
      <c r="I25" s="20"/>
      <c r="J25" s="19"/>
      <c r="K25" s="19"/>
      <c r="L25" s="19"/>
    </row>
    <row r="26" spans="1:12" ht="22.5" x14ac:dyDescent="0.3">
      <c r="A26" s="3"/>
      <c r="B26" s="50" t="s">
        <v>6</v>
      </c>
      <c r="C26" s="51"/>
      <c r="D26" s="51"/>
      <c r="E26" s="51"/>
      <c r="F26" s="11"/>
      <c r="G26" s="11"/>
      <c r="H26" s="11"/>
      <c r="I26" s="11"/>
      <c r="J26" s="11"/>
      <c r="K26" s="11"/>
      <c r="L26" s="11"/>
    </row>
    <row r="27" spans="1:12" ht="22.5" x14ac:dyDescent="0.3">
      <c r="A27" s="15"/>
      <c r="B27" s="1"/>
      <c r="C27" s="1" t="s">
        <v>13</v>
      </c>
      <c r="D27" s="1" t="s">
        <v>14</v>
      </c>
      <c r="E27" s="1" t="s">
        <v>5</v>
      </c>
      <c r="F27" s="15"/>
      <c r="G27" s="15"/>
      <c r="H27" s="15"/>
      <c r="I27" s="15"/>
      <c r="J27" s="15"/>
      <c r="K27" s="15"/>
      <c r="L27" s="15"/>
    </row>
    <row r="28" spans="1:12" x14ac:dyDescent="0.3">
      <c r="A28" s="3"/>
      <c r="B28" s="1" t="s">
        <v>16</v>
      </c>
      <c r="C28" s="2">
        <v>30000</v>
      </c>
      <c r="D28" s="2">
        <v>30000</v>
      </c>
      <c r="E28" s="2">
        <f>D28-C28</f>
        <v>0</v>
      </c>
      <c r="F28" s="11"/>
      <c r="G28" s="11"/>
      <c r="H28" s="11"/>
      <c r="I28" s="11"/>
      <c r="J28" s="11"/>
      <c r="K28" s="11"/>
      <c r="L28" s="11"/>
    </row>
    <row r="29" spans="1:12" x14ac:dyDescent="0.3">
      <c r="A29" s="3"/>
      <c r="B29" s="1" t="s">
        <v>17</v>
      </c>
      <c r="C29" s="2">
        <v>15000</v>
      </c>
      <c r="D29" s="2">
        <v>15000</v>
      </c>
      <c r="E29" s="2">
        <f t="shared" ref="E29:E31" si="1">D29-C29</f>
        <v>0</v>
      </c>
      <c r="F29" s="19"/>
      <c r="G29" s="19"/>
      <c r="H29" s="19"/>
      <c r="I29" s="11"/>
      <c r="J29" s="19"/>
      <c r="K29" s="19"/>
      <c r="L29" s="19"/>
    </row>
    <row r="30" spans="1:12" x14ac:dyDescent="0.3">
      <c r="A30" s="3"/>
      <c r="B30" s="1" t="s">
        <v>18</v>
      </c>
      <c r="C30" s="2">
        <v>15000</v>
      </c>
      <c r="D30" s="2">
        <v>15000</v>
      </c>
      <c r="E30" s="2">
        <f t="shared" si="1"/>
        <v>0</v>
      </c>
      <c r="F30" s="19"/>
      <c r="G30" s="19"/>
      <c r="H30" s="19"/>
      <c r="I30" s="11"/>
      <c r="J30" s="19"/>
      <c r="K30" s="19"/>
      <c r="L30" s="19"/>
    </row>
    <row r="31" spans="1:12" x14ac:dyDescent="0.3">
      <c r="A31" s="3"/>
      <c r="B31" s="29" t="s">
        <v>19</v>
      </c>
      <c r="C31" s="30">
        <v>25000</v>
      </c>
      <c r="D31" s="27">
        <v>30000</v>
      </c>
      <c r="E31" s="27">
        <f t="shared" si="1"/>
        <v>5000</v>
      </c>
      <c r="F31" s="19"/>
      <c r="G31" s="19"/>
      <c r="H31" s="19"/>
      <c r="I31" s="11"/>
      <c r="J31" s="19"/>
      <c r="K31" s="19"/>
      <c r="L31" s="19"/>
    </row>
    <row r="32" spans="1:12" x14ac:dyDescent="0.3">
      <c r="A32" s="8"/>
      <c r="B32" s="31"/>
      <c r="C32" s="31"/>
      <c r="D32" s="28"/>
      <c r="E32" s="28"/>
      <c r="F32" s="21"/>
      <c r="G32" s="19"/>
      <c r="H32" s="19"/>
      <c r="I32" s="18"/>
      <c r="J32" s="21"/>
      <c r="K32" s="19"/>
      <c r="L32" s="19"/>
    </row>
    <row r="33" spans="1:12" x14ac:dyDescent="0.3">
      <c r="A33" s="9"/>
      <c r="B33" s="3"/>
      <c r="C33" s="3"/>
      <c r="D33" s="3"/>
      <c r="E33" s="3"/>
      <c r="F33" s="22"/>
      <c r="G33" s="19"/>
      <c r="H33" s="19"/>
      <c r="I33" s="22"/>
      <c r="J33" s="22"/>
      <c r="K33" s="19"/>
      <c r="L33" s="19"/>
    </row>
    <row r="34" spans="1:12" ht="22.5" x14ac:dyDescent="0.3">
      <c r="A34" s="3"/>
      <c r="B34" s="50" t="s">
        <v>25</v>
      </c>
      <c r="C34" s="51"/>
      <c r="D34" s="51"/>
      <c r="E34" s="51"/>
      <c r="F34" s="11"/>
      <c r="G34" s="11"/>
      <c r="H34" s="11"/>
      <c r="I34" s="11"/>
      <c r="J34" s="11"/>
      <c r="K34" s="11"/>
      <c r="L34" s="11"/>
    </row>
    <row r="35" spans="1:12" ht="22.5" x14ac:dyDescent="0.3">
      <c r="A35" s="15"/>
      <c r="B35" s="2"/>
      <c r="C35" s="1" t="s">
        <v>24</v>
      </c>
      <c r="D35" s="1" t="s">
        <v>14</v>
      </c>
      <c r="E35" s="1" t="s">
        <v>5</v>
      </c>
      <c r="F35" s="15"/>
      <c r="G35" s="15"/>
      <c r="H35" s="15"/>
      <c r="I35" s="15"/>
      <c r="J35" s="15"/>
      <c r="K35" s="15"/>
      <c r="L35" s="15"/>
    </row>
    <row r="36" spans="1:12" x14ac:dyDescent="0.3">
      <c r="A36" s="5"/>
      <c r="B36" s="2" t="s">
        <v>23</v>
      </c>
      <c r="C36" s="2">
        <v>10000</v>
      </c>
      <c r="D36" s="2">
        <v>8000</v>
      </c>
      <c r="E36" s="2">
        <f>D36-C36</f>
        <v>-2000</v>
      </c>
      <c r="F36" s="11"/>
      <c r="G36" s="11"/>
      <c r="H36" s="11"/>
      <c r="I36" s="19"/>
      <c r="J36" s="11"/>
      <c r="K36" s="11"/>
      <c r="L36" s="11"/>
    </row>
    <row r="37" spans="1:12" x14ac:dyDescent="0.3">
      <c r="A37" s="5"/>
      <c r="B37" s="1" t="s">
        <v>7</v>
      </c>
      <c r="C37" s="2">
        <v>15000</v>
      </c>
      <c r="D37" s="2">
        <v>15000</v>
      </c>
      <c r="E37" s="2">
        <f t="shared" ref="E37:E38" si="2">D37-C37</f>
        <v>0</v>
      </c>
      <c r="F37" s="19"/>
      <c r="G37" s="19"/>
      <c r="H37" s="19"/>
      <c r="I37" s="19"/>
      <c r="J37" s="19"/>
      <c r="K37" s="19"/>
      <c r="L37" s="19"/>
    </row>
    <row r="38" spans="1:12" x14ac:dyDescent="0.3">
      <c r="A38" s="3"/>
      <c r="B38" s="6" t="s">
        <v>26</v>
      </c>
      <c r="C38" s="27">
        <v>15000</v>
      </c>
      <c r="D38" s="27">
        <v>15000</v>
      </c>
      <c r="E38" s="27">
        <f t="shared" si="2"/>
        <v>0</v>
      </c>
      <c r="F38" s="19"/>
      <c r="G38" s="19"/>
      <c r="H38" s="19"/>
      <c r="I38" s="11"/>
      <c r="J38" s="19"/>
      <c r="K38" s="19"/>
      <c r="L38" s="19"/>
    </row>
    <row r="39" spans="1:12" x14ac:dyDescent="0.3">
      <c r="A39" s="3"/>
      <c r="B39" s="4"/>
      <c r="C39" s="28"/>
      <c r="D39" s="28"/>
      <c r="E39" s="28"/>
      <c r="F39" s="19"/>
      <c r="G39" s="19"/>
      <c r="H39" s="19"/>
      <c r="I39" s="11"/>
      <c r="J39" s="19"/>
      <c r="K39" s="19"/>
      <c r="L39" s="19"/>
    </row>
    <row r="40" spans="1:12" x14ac:dyDescent="0.3">
      <c r="A40" s="3"/>
      <c r="B40" s="5"/>
      <c r="C40" s="5"/>
      <c r="D40" s="5"/>
      <c r="E40" s="11"/>
      <c r="F40" s="19"/>
      <c r="G40" s="19"/>
      <c r="H40" s="19"/>
      <c r="I40" s="11"/>
      <c r="J40" s="19"/>
      <c r="K40" s="19"/>
      <c r="L40" s="19"/>
    </row>
    <row r="41" spans="1:12" ht="22.5" x14ac:dyDescent="0.45">
      <c r="B41" s="33"/>
      <c r="C41" s="33"/>
    </row>
    <row r="42" spans="1:12" x14ac:dyDescent="0.3">
      <c r="B42" s="11"/>
      <c r="C42" s="19"/>
    </row>
    <row r="43" spans="1:12" x14ac:dyDescent="0.3">
      <c r="B43" s="11"/>
      <c r="C43" s="19"/>
    </row>
  </sheetData>
  <scenarios current="0" show="0">
    <scenario name="what if 378000 was spent" locked="1" count="1" user="USER" comment="Created by USER on 2/10/2026">
      <inputCells r="F22" val="378000"/>
    </scenario>
  </scenarios>
  <mergeCells count="8">
    <mergeCell ref="H4:I4"/>
    <mergeCell ref="C4:C8"/>
    <mergeCell ref="A1:J2"/>
    <mergeCell ref="B34:E34"/>
    <mergeCell ref="G11:H11"/>
    <mergeCell ref="B20:E20"/>
    <mergeCell ref="B11:E11"/>
    <mergeCell ref="B26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magdalene zaki</dc:creator>
  <cp:lastModifiedBy>magdalene zaki</cp:lastModifiedBy>
  <dcterms:created xsi:type="dcterms:W3CDTF">2026-02-10T07:47:31Z</dcterms:created>
  <dcterms:modified xsi:type="dcterms:W3CDTF">2026-02-11T16:40:32Z</dcterms:modified>
</cp:coreProperties>
</file>